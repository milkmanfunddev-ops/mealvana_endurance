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card" sheetId="1" r:id="rId4"/>
    <sheet state="visible" name="Nutritional Information" sheetId="2" r:id="rId5"/>
  </sheets>
  <definedNames/>
  <calcPr/>
</workbook>
</file>

<file path=xl/sharedStrings.xml><?xml version="1.0" encoding="utf-8"?>
<sst xmlns="http://schemas.openxmlformats.org/spreadsheetml/2006/main" count="84" uniqueCount="71">
  <si>
    <t>Run Details - "Run Name"</t>
  </si>
  <si>
    <t>Duration</t>
  </si>
  <si>
    <t>hrs (mins / 60)</t>
  </si>
  <si>
    <t>Total fluid intake</t>
  </si>
  <si>
    <t>ml</t>
  </si>
  <si>
    <t xml:space="preserve">Total Consumed </t>
  </si>
  <si>
    <t>Item</t>
  </si>
  <si>
    <t>Qty</t>
  </si>
  <si>
    <t>kcal</t>
  </si>
  <si>
    <t>Carb
(g)</t>
  </si>
  <si>
    <t>Protein 
(g)</t>
  </si>
  <si>
    <t>Sodium 
(mg)</t>
  </si>
  <si>
    <t>How to use?</t>
  </si>
  <si>
    <t>Koda caffeine gel</t>
  </si>
  <si>
    <t>1. Add all nutritional information for foods you eat while running in the 'Nutritional Information" sheet</t>
  </si>
  <si>
    <t>Skratch lemon and lime</t>
  </si>
  <si>
    <t>2. Add your targets for energy intake, carb intake, protein intake and sodium concentration if you know your numbers to the summary table</t>
  </si>
  <si>
    <t>High 5 gel</t>
  </si>
  <si>
    <t>3. After completing a run input the duration in decimal numbers (total minutes / 60), total fluid intake in mL</t>
  </si>
  <si>
    <t>Muesli bar salted caramel</t>
  </si>
  <si>
    <t>4. Fill in the total consumed table with each item and the quantities you ate during the run</t>
  </si>
  <si>
    <t>5. Review the Summary table to see if you met your targets</t>
  </si>
  <si>
    <t>Input cell</t>
  </si>
  <si>
    <t>(Insert rows above)</t>
  </si>
  <si>
    <t>Totals</t>
  </si>
  <si>
    <t>Summary</t>
  </si>
  <si>
    <t>Actual</t>
  </si>
  <si>
    <t>Targets</t>
  </si>
  <si>
    <t>Achieved</t>
  </si>
  <si>
    <t xml:space="preserve">Energy </t>
  </si>
  <si>
    <t>kcal/hr</t>
  </si>
  <si>
    <t>Carbs</t>
  </si>
  <si>
    <t>g/hr</t>
  </si>
  <si>
    <t xml:space="preserve">Protein </t>
  </si>
  <si>
    <t>Sodium</t>
  </si>
  <si>
    <t>mg/hr</t>
  </si>
  <si>
    <t xml:space="preserve">Fluid </t>
  </si>
  <si>
    <t>ml/hr</t>
  </si>
  <si>
    <t>Sodium concentration</t>
  </si>
  <si>
    <t>mg/l</t>
  </si>
  <si>
    <t>Nutrition Data</t>
  </si>
  <si>
    <t>&gt;This table feeds into the Run Calculator table, input all nutrition and hydration products in here</t>
  </si>
  <si>
    <t>kCal</t>
  </si>
  <si>
    <t>kJ</t>
  </si>
  <si>
    <t>Carb 
(g)</t>
  </si>
  <si>
    <t>Fats 
(g)</t>
  </si>
  <si>
    <t>Caffeine 
(mg)</t>
  </si>
  <si>
    <t>Weight 
(g)</t>
  </si>
  <si>
    <t>Koda gel</t>
  </si>
  <si>
    <t>Koda bar</t>
  </si>
  <si>
    <t>High 5 Energy Drink</t>
  </si>
  <si>
    <t>SIS Go gel</t>
  </si>
  <si>
    <t>SiS Betafuel</t>
  </si>
  <si>
    <t>GU stroop wafel salted choc</t>
  </si>
  <si>
    <t>Snickers bar</t>
  </si>
  <si>
    <t>Mars bar</t>
  </si>
  <si>
    <t>Snickers bar (new)</t>
  </si>
  <si>
    <t>Clif bar Crunchy Peanut</t>
  </si>
  <si>
    <t>Clif bar chocolate chip</t>
  </si>
  <si>
    <t>Tailwind 1 scoop</t>
  </si>
  <si>
    <t>Clif gel double shot espresso</t>
  </si>
  <si>
    <t>Trailbrew (50g 2 x scoops)</t>
  </si>
  <si>
    <t>Peanut butter jelly bar</t>
  </si>
  <si>
    <t>Skratch green tea</t>
  </si>
  <si>
    <t>Winners gel</t>
  </si>
  <si>
    <t>Winners bar 64g</t>
  </si>
  <si>
    <t>Koda electrolytes</t>
  </si>
  <si>
    <t>High 5 electrolytes</t>
  </si>
  <si>
    <t>Sandwich (vegemite and cheese)</t>
  </si>
  <si>
    <t>Sandwich (vegemite)</t>
  </si>
  <si>
    <t>Pizza shapes (100g)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</si>
</sst>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</fills>
  <borders count="12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2" numFmtId="2" xfId="0" applyBorder="1" applyFont="1" applyNumberFormat="1"/>
    <xf borderId="4" fillId="0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5" fillId="0" fontId="2" numFmtId="9" xfId="0" applyBorder="1" applyFont="1" applyNumberFormat="1"/>
    <xf borderId="6" fillId="0" fontId="2" numFmtId="0" xfId="0" applyAlignment="1" applyBorder="1" applyFont="1">
      <alignment readingOrder="0"/>
    </xf>
    <xf borderId="0" fillId="0" fontId="2" numFmtId="2" xfId="0" applyFont="1" applyNumberFormat="1"/>
    <xf borderId="7" fillId="0" fontId="2" numFmtId="0" xfId="0" applyAlignment="1" applyBorder="1" applyFont="1">
      <alignment readingOrder="0"/>
    </xf>
    <xf borderId="6" fillId="3" fontId="2" numFmtId="0" xfId="0" applyAlignment="1" applyBorder="1" applyFont="1">
      <alignment readingOrder="0"/>
    </xf>
    <xf borderId="8" fillId="0" fontId="2" numFmtId="9" xfId="0" applyBorder="1" applyFont="1" applyNumberFormat="1"/>
    <xf borderId="7" fillId="0" fontId="2" numFmtId="9" xfId="0" applyBorder="1" applyFont="1" applyNumberFormat="1"/>
    <xf borderId="9" fillId="0" fontId="2" numFmtId="0" xfId="0" applyAlignment="1" applyBorder="1" applyFont="1">
      <alignment readingOrder="0"/>
    </xf>
    <xf borderId="1" fillId="0" fontId="2" numFmtId="2" xfId="0" applyBorder="1" applyFont="1" applyNumberFormat="1"/>
    <xf borderId="10" fillId="0" fontId="2" numFmtId="0" xfId="0" applyAlignment="1" applyBorder="1" applyFont="1">
      <alignment readingOrder="0"/>
    </xf>
    <xf borderId="9" fillId="3" fontId="2" numFmtId="0" xfId="0" applyAlignment="1" applyBorder="1" applyFont="1">
      <alignment readingOrder="0"/>
    </xf>
    <xf borderId="11" fillId="0" fontId="2" numFmtId="9" xfId="0" applyBorder="1" applyFont="1" applyNumberFormat="1"/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4.88"/>
    <col customWidth="1" min="3" max="3" width="6.13"/>
    <col customWidth="1" min="4" max="4" width="5.88"/>
    <col customWidth="1" min="5" max="5" width="7.38"/>
    <col customWidth="1" min="6" max="6" width="6.75"/>
    <col customWidth="1" min="7" max="7" width="8.38"/>
  </cols>
  <sheetData>
    <row r="2">
      <c r="B2" s="1" t="s">
        <v>0</v>
      </c>
      <c r="C2" s="1"/>
      <c r="D2" s="1"/>
      <c r="E2" s="1"/>
      <c r="F2" s="1"/>
      <c r="G2" s="1"/>
    </row>
    <row r="3">
      <c r="B3" s="2" t="s">
        <v>1</v>
      </c>
      <c r="C3" s="3">
        <v>2.0</v>
      </c>
      <c r="D3" s="2" t="s">
        <v>2</v>
      </c>
    </row>
    <row r="4">
      <c r="B4" s="2" t="s">
        <v>3</v>
      </c>
      <c r="C4" s="3">
        <v>1500.0</v>
      </c>
      <c r="D4" s="2" t="s">
        <v>4</v>
      </c>
    </row>
    <row r="6">
      <c r="B6" s="4" t="s">
        <v>5</v>
      </c>
      <c r="C6" s="4"/>
      <c r="D6" s="4"/>
      <c r="E6" s="4"/>
      <c r="F6" s="4"/>
      <c r="G6" s="4"/>
    </row>
    <row r="7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I7" s="1" t="s">
        <v>12</v>
      </c>
    </row>
    <row r="8">
      <c r="B8" s="2" t="s">
        <v>13</v>
      </c>
      <c r="C8" s="3">
        <v>1.0</v>
      </c>
      <c r="D8" s="5">
        <f>iferror(C8*vlookup(B8,'Nutritional Information'!$B$4:$E$33,2,FALSE)," ")</f>
        <v>117</v>
      </c>
      <c r="E8" s="5">
        <f>iferror(C8*vlookup(B8,'Nutritional Information'!$B$4:$E$33,4,FALSE)," ")</f>
        <v>29.8</v>
      </c>
      <c r="F8" s="5">
        <f>iferror(C8*vlookup(B8,'Nutritional Information'!$B$4:$G$33,6,FALSE)," ")</f>
        <v>0</v>
      </c>
      <c r="G8" s="5">
        <f>iferror(C8*vlookup(B8,'Nutritional Information'!$B$4:$H$33,7,FALSE)," ")</f>
        <v>36</v>
      </c>
      <c r="I8" s="2" t="s">
        <v>14</v>
      </c>
    </row>
    <row r="9">
      <c r="B9" s="2" t="s">
        <v>15</v>
      </c>
      <c r="C9" s="3">
        <v>1.0</v>
      </c>
      <c r="D9" s="5">
        <f>iferror(C9*vlookup(B9,'Nutritional Information'!$B$4:$E$33,2,FALSE)," ")</f>
        <v>80</v>
      </c>
      <c r="E9" s="5">
        <f>iferror(C9*vlookup(B9,'Nutritional Information'!$B$4:$E$33,4,FALSE)," ")</f>
        <v>21</v>
      </c>
      <c r="F9" s="5">
        <f>iferror(C9*vlookup(B9,'Nutritional Information'!$B$4:$G$33,6,FALSE)," ")</f>
        <v>0</v>
      </c>
      <c r="G9" s="5">
        <f>iferror(C9*vlookup(B9,'Nutritional Information'!$B$4:$H$33,7,FALSE)," ")</f>
        <v>380</v>
      </c>
      <c r="I9" s="2" t="s">
        <v>16</v>
      </c>
    </row>
    <row r="10">
      <c r="B10" s="2" t="s">
        <v>17</v>
      </c>
      <c r="C10" s="3">
        <v>1.0</v>
      </c>
      <c r="D10" s="5">
        <f>iferror(C10*vlookup(B10,'Nutritional Information'!$B$4:$E$33,2,FALSE)," ")</f>
        <v>91</v>
      </c>
      <c r="E10" s="5">
        <f>iferror(C10*vlookup(B10,'Nutritional Information'!$B$4:$E$33,4,FALSE)," ")</f>
        <v>23</v>
      </c>
      <c r="F10" s="5">
        <f>iferror(C10*vlookup(B10,'Nutritional Information'!$B$4:$G$33,6,FALSE)," ")</f>
        <v>0</v>
      </c>
      <c r="G10" s="5">
        <f>iferror(C10*vlookup(B10,'Nutritional Information'!$B$4:$H$33,7,FALSE)," ")</f>
        <v>0.05</v>
      </c>
      <c r="I10" s="2" t="s">
        <v>18</v>
      </c>
    </row>
    <row r="11">
      <c r="B11" s="2" t="s">
        <v>19</v>
      </c>
      <c r="C11" s="3">
        <v>1.5</v>
      </c>
      <c r="D11" s="5">
        <f>iferror(C11*vlookup(B11,'Nutritional Information'!$B$4:$E$33,2,FALSE)," ")</f>
        <v>235.5</v>
      </c>
      <c r="E11" s="5">
        <f>iferror(C11*vlookup(B11,'Nutritional Information'!$B$4:$E$33,4,FALSE)," ")</f>
        <v>16.65</v>
      </c>
      <c r="F11" s="5">
        <f>iferror(C11*vlookup(B11,'Nutritional Information'!$B$4:$G$33,6,FALSE)," ")</f>
        <v>6.15</v>
      </c>
      <c r="G11" s="5">
        <f>iferror(C11*vlookup(B11,'Nutritional Information'!$B$4:$H$33,7,FALSE)," ")</f>
        <v>70.5</v>
      </c>
      <c r="I11" s="2" t="s">
        <v>20</v>
      </c>
    </row>
    <row r="12">
      <c r="B12" s="5"/>
      <c r="C12" s="3"/>
      <c r="D12" s="5" t="str">
        <f>iferror(C12*vlookup(B12,'Nutritional Information'!$B$4:$E$33,2,FALSE)," ")</f>
        <v> </v>
      </c>
      <c r="E12" s="5" t="str">
        <f>iferror(C12*vlookup(B12,'Nutritional Information'!$B$4:$E$33,4,FALSE)," ")</f>
        <v> </v>
      </c>
      <c r="F12" s="5" t="str">
        <f>iferror(C12*vlookup(B12,'Nutritional Information'!$B$4:$G$33,6,FALSE)," ")</f>
        <v> </v>
      </c>
      <c r="G12" s="5" t="str">
        <f>iferror(C12*vlookup(B12,'Nutritional Information'!$B$4:$H$33,7,FALSE)," ")</f>
        <v> </v>
      </c>
      <c r="I12" s="2" t="s">
        <v>21</v>
      </c>
    </row>
    <row r="13">
      <c r="B13" s="5"/>
      <c r="C13" s="3"/>
      <c r="D13" s="5" t="str">
        <f>iferror(C13*vlookup(B13,'Nutritional Information'!$B$4:$E$33,2,FALSE)," ")</f>
        <v> </v>
      </c>
      <c r="E13" s="5" t="str">
        <f>iferror(C13*vlookup(B13,'Nutritional Information'!$B$4:$E$33,4,FALSE)," ")</f>
        <v> </v>
      </c>
      <c r="F13" s="5" t="str">
        <f>iferror(C13*vlookup(B13,'Nutritional Information'!$B$4:$G$33,6,FALSE)," ")</f>
        <v> </v>
      </c>
      <c r="G13" s="5" t="str">
        <f>iferror(C13*vlookup(B13,'Nutritional Information'!$B$4:$H$33,7,FALSE)," ")</f>
        <v> </v>
      </c>
    </row>
    <row r="14">
      <c r="B14" s="5"/>
      <c r="C14" s="3"/>
      <c r="D14" s="5" t="str">
        <f>iferror(C14*vlookup(B14,'Nutritional Information'!$B$4:$E$33,2,FALSE)," ")</f>
        <v> </v>
      </c>
      <c r="E14" s="5" t="str">
        <f>iferror(C14*vlookup(B14,'Nutritional Information'!$B$4:$E$33,4,FALSE)," ")</f>
        <v> </v>
      </c>
      <c r="F14" s="5" t="str">
        <f>iferror(C14*vlookup(B14,'Nutritional Information'!$B$4:$G$33,6,FALSE)," ")</f>
        <v> </v>
      </c>
      <c r="G14" s="5" t="str">
        <f>iferror(C14*vlookup(B14,'Nutritional Information'!$B$4:$H$33,7,FALSE)," ")</f>
        <v> </v>
      </c>
      <c r="I14" s="3" t="s">
        <v>22</v>
      </c>
    </row>
    <row r="15">
      <c r="B15" s="5"/>
      <c r="C15" s="3"/>
      <c r="D15" s="5" t="str">
        <f>iferror(C15*vlookup(B15,'Nutritional Information'!$B$4:$E$33,2,FALSE)," ")</f>
        <v> </v>
      </c>
      <c r="E15" s="5" t="str">
        <f>iferror(C15*vlookup(B15,'Nutritional Information'!$B$4:$E$33,4,FALSE)," ")</f>
        <v> </v>
      </c>
      <c r="F15" s="5" t="str">
        <f>iferror(C15*vlookup(B15,'Nutritional Information'!$B$4:$G$33,6,FALSE)," ")</f>
        <v> </v>
      </c>
      <c r="G15" s="5" t="str">
        <f>iferror(C15*vlookup(B15,'Nutritional Information'!$B$4:$H$33,7,FALSE)," ")</f>
        <v> </v>
      </c>
    </row>
    <row r="16">
      <c r="B16" s="5"/>
      <c r="C16" s="3"/>
      <c r="D16" s="5" t="str">
        <f>iferror(C16*vlookup(B16,'Nutritional Information'!$B$4:$E$33,2,FALSE)," ")</f>
        <v> </v>
      </c>
      <c r="E16" s="5" t="str">
        <f>iferror(C16*vlookup(B16,'Nutritional Information'!$B$4:$E$33,4,FALSE)," ")</f>
        <v> </v>
      </c>
      <c r="F16" s="5" t="str">
        <f>iferror(C16*vlookup(B16,'Nutritional Information'!$B$4:$G$33,6,FALSE)," ")</f>
        <v> </v>
      </c>
      <c r="G16" s="5" t="str">
        <f>iferror(C16*vlookup(B16,'Nutritional Information'!$B$4:$H$33,7,FALSE)," ")</f>
        <v> </v>
      </c>
    </row>
    <row r="17">
      <c r="B17" s="6" t="s">
        <v>23</v>
      </c>
    </row>
    <row r="18">
      <c r="B18" s="7" t="s">
        <v>24</v>
      </c>
      <c r="C18" s="8"/>
      <c r="D18" s="8">
        <f t="shared" ref="D18:G18" si="1">sum(D8:D17)</f>
        <v>523.5</v>
      </c>
      <c r="E18" s="8">
        <f t="shared" si="1"/>
        <v>90.45</v>
      </c>
      <c r="F18" s="8">
        <f t="shared" si="1"/>
        <v>6.15</v>
      </c>
      <c r="G18" s="8">
        <f t="shared" si="1"/>
        <v>486.55</v>
      </c>
    </row>
    <row r="20">
      <c r="B20" s="9" t="s">
        <v>25</v>
      </c>
      <c r="C20" s="10" t="s">
        <v>26</v>
      </c>
      <c r="D20" s="11"/>
      <c r="E20" s="9" t="s">
        <v>27</v>
      </c>
      <c r="F20" s="11"/>
      <c r="G20" s="12" t="s">
        <v>28</v>
      </c>
    </row>
    <row r="21">
      <c r="B21" s="13" t="s">
        <v>29</v>
      </c>
      <c r="C21" s="14">
        <f>D18/C3</f>
        <v>261.75</v>
      </c>
      <c r="D21" s="15" t="s">
        <v>30</v>
      </c>
      <c r="E21" s="16">
        <v>300.0</v>
      </c>
      <c r="F21" s="15" t="s">
        <v>30</v>
      </c>
      <c r="G21" s="17">
        <f t="shared" ref="G21:G26" si="2">iferror(C21/E21," ")</f>
        <v>0.8725</v>
      </c>
    </row>
    <row r="22">
      <c r="B22" s="18" t="s">
        <v>31</v>
      </c>
      <c r="C22" s="19">
        <f>E18/C3</f>
        <v>45.225</v>
      </c>
      <c r="D22" s="20" t="s">
        <v>32</v>
      </c>
      <c r="E22" s="21">
        <v>60.0</v>
      </c>
      <c r="F22" s="20" t="s">
        <v>32</v>
      </c>
      <c r="G22" s="22">
        <f t="shared" si="2"/>
        <v>0.75375</v>
      </c>
    </row>
    <row r="23">
      <c r="B23" s="18" t="s">
        <v>33</v>
      </c>
      <c r="C23" s="19">
        <f>F18/C3</f>
        <v>3.075</v>
      </c>
      <c r="D23" s="20" t="s">
        <v>32</v>
      </c>
      <c r="E23" s="21">
        <v>3.0</v>
      </c>
      <c r="F23" s="20" t="s">
        <v>32</v>
      </c>
      <c r="G23" s="22">
        <f t="shared" si="2"/>
        <v>1.025</v>
      </c>
    </row>
    <row r="24">
      <c r="B24" s="18" t="s">
        <v>34</v>
      </c>
      <c r="C24" s="19">
        <f>G18/C3</f>
        <v>243.275</v>
      </c>
      <c r="D24" s="2" t="s">
        <v>35</v>
      </c>
      <c r="E24" s="18"/>
      <c r="F24" s="20"/>
      <c r="G24" s="23" t="str">
        <f t="shared" si="2"/>
        <v> </v>
      </c>
    </row>
    <row r="25">
      <c r="B25" s="18" t="s">
        <v>36</v>
      </c>
      <c r="C25" s="19">
        <f>C4/C3</f>
        <v>750</v>
      </c>
      <c r="D25" s="2" t="s">
        <v>37</v>
      </c>
      <c r="E25" s="18"/>
      <c r="F25" s="20"/>
      <c r="G25" s="23" t="str">
        <f t="shared" si="2"/>
        <v> </v>
      </c>
    </row>
    <row r="26">
      <c r="B26" s="24" t="s">
        <v>38</v>
      </c>
      <c r="C26" s="25">
        <f>G18/(C4/1000)</f>
        <v>324.3666667</v>
      </c>
      <c r="D26" s="26" t="s">
        <v>39</v>
      </c>
      <c r="E26" s="27"/>
      <c r="F26" s="26" t="s">
        <v>39</v>
      </c>
      <c r="G26" s="28" t="str">
        <f t="shared" si="2"/>
        <v> </v>
      </c>
    </row>
  </sheetData>
  <conditionalFormatting sqref="G21:G26">
    <cfRule type="colorScale" priority="1">
      <colorScale>
        <cfvo type="formula" val="0.4"/>
        <cfvo type="formula" val="0.8"/>
        <cfvo type="formula" val="1"/>
        <color rgb="FFE67C73"/>
        <color rgb="FFFBBC04"/>
        <color rgb="FF57BB8A"/>
      </colorScale>
    </cfRule>
  </conditionalFormatting>
  <dataValidations>
    <dataValidation type="list" allowBlank="1" showErrorMessage="1" sqref="B8:B16">
      <formula1>'Nutritional Information'!$B$4:$B$33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5"/>
    <col customWidth="1" min="2" max="2" width="22.38"/>
    <col customWidth="1" min="3" max="3" width="4.5"/>
    <col customWidth="1" min="4" max="4" width="4.75"/>
    <col customWidth="1" min="5" max="5" width="5.0"/>
    <col customWidth="1" min="6" max="6" width="6.13"/>
    <col customWidth="1" min="7" max="7" width="6.75"/>
    <col customWidth="1" min="8" max="8" width="7.13"/>
    <col customWidth="1" min="9" max="9" width="7.63"/>
    <col customWidth="1" min="10" max="10" width="6.5"/>
  </cols>
  <sheetData>
    <row r="1">
      <c r="B1" s="29" t="s">
        <v>40</v>
      </c>
    </row>
    <row r="2">
      <c r="B2" s="6" t="s">
        <v>41</v>
      </c>
    </row>
    <row r="3">
      <c r="B3" s="1" t="s">
        <v>6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10</v>
      </c>
      <c r="H3" s="1" t="s">
        <v>11</v>
      </c>
      <c r="I3" s="1" t="s">
        <v>46</v>
      </c>
      <c r="J3" s="1" t="s">
        <v>47</v>
      </c>
    </row>
    <row r="4">
      <c r="B4" s="2" t="s">
        <v>48</v>
      </c>
      <c r="C4" s="2">
        <v>117.0</v>
      </c>
      <c r="D4" s="30">
        <f t="shared" ref="D4:D7" si="1">C4*4.184</f>
        <v>489.528</v>
      </c>
      <c r="E4" s="2">
        <v>29.8</v>
      </c>
      <c r="F4" s="2">
        <v>0.0</v>
      </c>
      <c r="G4" s="2">
        <v>0.0</v>
      </c>
      <c r="H4" s="2">
        <v>36.0</v>
      </c>
      <c r="I4" s="2">
        <v>0.0</v>
      </c>
      <c r="J4" s="2">
        <v>45.0</v>
      </c>
    </row>
    <row r="5">
      <c r="B5" s="2" t="s">
        <v>13</v>
      </c>
      <c r="C5" s="2">
        <v>117.0</v>
      </c>
      <c r="D5" s="30">
        <f t="shared" si="1"/>
        <v>489.528</v>
      </c>
      <c r="E5" s="2">
        <v>29.8</v>
      </c>
      <c r="F5" s="2">
        <v>0.0</v>
      </c>
      <c r="G5" s="2">
        <v>0.0</v>
      </c>
      <c r="H5" s="2">
        <v>36.0</v>
      </c>
      <c r="I5" s="2">
        <v>80.0</v>
      </c>
      <c r="J5" s="2">
        <v>45.0</v>
      </c>
    </row>
    <row r="6" ht="15.0" customHeight="1">
      <c r="B6" s="2" t="s">
        <v>49</v>
      </c>
      <c r="C6" s="2">
        <v>203.0</v>
      </c>
      <c r="D6" s="30">
        <f t="shared" si="1"/>
        <v>849.352</v>
      </c>
      <c r="E6" s="2">
        <v>23.2</v>
      </c>
      <c r="F6" s="2">
        <v>9.1</v>
      </c>
      <c r="G6" s="2">
        <v>5.8</v>
      </c>
      <c r="H6" s="2">
        <v>22.0</v>
      </c>
      <c r="I6" s="2">
        <v>0.0</v>
      </c>
      <c r="J6" s="2">
        <v>50.0</v>
      </c>
    </row>
    <row r="7" ht="15.0" customHeight="1">
      <c r="B7" s="2" t="s">
        <v>17</v>
      </c>
      <c r="C7" s="2">
        <v>91.0</v>
      </c>
      <c r="D7" s="30">
        <f t="shared" si="1"/>
        <v>380.744</v>
      </c>
      <c r="E7" s="2">
        <v>23.0</v>
      </c>
      <c r="F7" s="2">
        <v>0.0</v>
      </c>
      <c r="G7" s="2">
        <v>0.0</v>
      </c>
      <c r="H7" s="2">
        <v>0.05</v>
      </c>
      <c r="I7" s="2">
        <v>0.0</v>
      </c>
      <c r="J7" s="2">
        <v>40.0</v>
      </c>
    </row>
    <row r="8" ht="15.0" customHeight="1">
      <c r="B8" s="2" t="s">
        <v>50</v>
      </c>
      <c r="C8" s="2">
        <v>175.0</v>
      </c>
      <c r="D8" s="30">
        <v>743.0</v>
      </c>
      <c r="E8" s="2">
        <v>44.0</v>
      </c>
      <c r="F8" s="2">
        <v>0.0</v>
      </c>
      <c r="G8" s="2">
        <v>0.0</v>
      </c>
      <c r="H8" s="2">
        <v>60.0</v>
      </c>
      <c r="I8" s="2">
        <v>0.0</v>
      </c>
      <c r="J8" s="2">
        <v>47.0</v>
      </c>
    </row>
    <row r="9" ht="15.0" customHeight="1">
      <c r="B9" s="2" t="s">
        <v>51</v>
      </c>
      <c r="C9" s="2">
        <v>87.0</v>
      </c>
      <c r="D9" s="30">
        <f>C9*4.184</f>
        <v>364.008</v>
      </c>
      <c r="E9" s="2">
        <v>22.0</v>
      </c>
      <c r="F9" s="2">
        <v>0.0</v>
      </c>
      <c r="G9" s="2">
        <v>0.0</v>
      </c>
      <c r="H9" s="2">
        <v>0.0</v>
      </c>
      <c r="I9" s="2">
        <v>0.0</v>
      </c>
      <c r="J9" s="2">
        <v>60.0</v>
      </c>
    </row>
    <row r="10" ht="15.0" customHeight="1">
      <c r="B10" s="2" t="s">
        <v>52</v>
      </c>
      <c r="C10" s="2">
        <v>320.0</v>
      </c>
      <c r="D10" s="30">
        <v>1658.0</v>
      </c>
      <c r="E10" s="2">
        <v>80.0</v>
      </c>
      <c r="F10" s="2">
        <v>0.0</v>
      </c>
      <c r="G10" s="2">
        <v>0.0</v>
      </c>
      <c r="H10" s="2">
        <v>10.0</v>
      </c>
      <c r="I10" s="2">
        <v>0.0</v>
      </c>
      <c r="J10" s="2">
        <v>82.0</v>
      </c>
    </row>
    <row r="11" ht="15.0" customHeight="1">
      <c r="B11" s="2" t="s">
        <v>53</v>
      </c>
      <c r="C11" s="2">
        <v>140.0</v>
      </c>
      <c r="D11" s="30">
        <f t="shared" ref="D11:D24" si="2">C11*4.184</f>
        <v>585.76</v>
      </c>
      <c r="E11" s="2">
        <v>21.0</v>
      </c>
      <c r="F11" s="2">
        <v>6.0</v>
      </c>
      <c r="G11" s="2">
        <v>0.0</v>
      </c>
      <c r="H11" s="2">
        <v>150.0</v>
      </c>
      <c r="I11" s="2">
        <v>0.0</v>
      </c>
      <c r="J11" s="2">
        <v>30.0</v>
      </c>
    </row>
    <row r="12">
      <c r="B12" s="2" t="s">
        <v>54</v>
      </c>
      <c r="C12" s="2">
        <v>246.0</v>
      </c>
      <c r="D12" s="30">
        <f t="shared" si="2"/>
        <v>1029.264</v>
      </c>
      <c r="E12" s="2">
        <v>28.6</v>
      </c>
      <c r="F12" s="2">
        <v>12.2</v>
      </c>
      <c r="G12" s="2">
        <v>4.4</v>
      </c>
      <c r="H12" s="2">
        <v>119.0</v>
      </c>
      <c r="I12" s="2">
        <v>0.0</v>
      </c>
      <c r="J12" s="2">
        <v>50.0</v>
      </c>
    </row>
    <row r="13">
      <c r="B13" s="2" t="s">
        <v>55</v>
      </c>
      <c r="C13" s="2">
        <v>212.0</v>
      </c>
      <c r="D13" s="30">
        <f t="shared" si="2"/>
        <v>887.008</v>
      </c>
      <c r="E13" s="2">
        <v>2.0</v>
      </c>
      <c r="F13" s="2">
        <f t="shared" ref="F13:F14" si="3">C13*E13</f>
        <v>424</v>
      </c>
      <c r="G13" s="2">
        <v>21.0</v>
      </c>
      <c r="H13" s="2">
        <v>6.0</v>
      </c>
      <c r="I13" s="2">
        <v>0.0</v>
      </c>
      <c r="J13" s="2">
        <v>150.0</v>
      </c>
    </row>
    <row r="14">
      <c r="B14" s="2" t="s">
        <v>56</v>
      </c>
      <c r="C14" s="2">
        <v>212.0</v>
      </c>
      <c r="D14" s="30">
        <f t="shared" si="2"/>
        <v>887.008</v>
      </c>
      <c r="E14" s="2">
        <v>2.0</v>
      </c>
      <c r="F14" s="2">
        <f t="shared" si="3"/>
        <v>424</v>
      </c>
      <c r="G14" s="2">
        <v>28.6</v>
      </c>
      <c r="H14" s="2">
        <v>12.2</v>
      </c>
      <c r="I14" s="2">
        <v>4.4</v>
      </c>
      <c r="J14" s="2">
        <v>119.0</v>
      </c>
    </row>
    <row r="15">
      <c r="B15" s="2" t="s">
        <v>57</v>
      </c>
      <c r="C15" s="2">
        <v>260.0</v>
      </c>
      <c r="D15" s="30">
        <f t="shared" si="2"/>
        <v>1087.84</v>
      </c>
      <c r="E15" s="2">
        <v>40.0</v>
      </c>
      <c r="F15" s="2">
        <v>7.0</v>
      </c>
      <c r="G15" s="2">
        <v>11.0</v>
      </c>
      <c r="H15" s="2">
        <v>234.0</v>
      </c>
      <c r="I15" s="2">
        <v>0.0</v>
      </c>
      <c r="J15" s="2">
        <v>68.0</v>
      </c>
    </row>
    <row r="16">
      <c r="B16" s="2" t="s">
        <v>58</v>
      </c>
      <c r="C16" s="2">
        <v>250.0</v>
      </c>
      <c r="D16" s="30">
        <f t="shared" si="2"/>
        <v>1046</v>
      </c>
      <c r="E16" s="2">
        <v>43.0</v>
      </c>
      <c r="F16" s="2">
        <v>6.0</v>
      </c>
      <c r="G16" s="2">
        <v>10.0</v>
      </c>
      <c r="H16" s="2">
        <v>130.0</v>
      </c>
      <c r="I16" s="2">
        <v>0.0</v>
      </c>
      <c r="J16" s="2">
        <v>68.0</v>
      </c>
    </row>
    <row r="17">
      <c r="B17" s="2" t="s">
        <v>59</v>
      </c>
      <c r="C17" s="2">
        <v>100.0</v>
      </c>
      <c r="D17" s="30">
        <f t="shared" si="2"/>
        <v>418.4</v>
      </c>
      <c r="E17" s="2">
        <v>25.0</v>
      </c>
      <c r="F17" s="2">
        <v>0.0</v>
      </c>
      <c r="G17" s="2">
        <v>0.0</v>
      </c>
      <c r="H17" s="2">
        <v>303.0</v>
      </c>
      <c r="I17" s="2">
        <v>0.0</v>
      </c>
      <c r="J17" s="2">
        <v>27.0</v>
      </c>
    </row>
    <row r="18">
      <c r="B18" s="2" t="s">
        <v>60</v>
      </c>
      <c r="C18" s="2">
        <v>100.0</v>
      </c>
      <c r="D18" s="2">
        <f t="shared" si="2"/>
        <v>418.4</v>
      </c>
      <c r="E18" s="2">
        <v>24.0</v>
      </c>
      <c r="F18" s="2">
        <v>0.0</v>
      </c>
      <c r="G18" s="2">
        <v>0.0</v>
      </c>
      <c r="H18" s="2">
        <v>60.0</v>
      </c>
      <c r="I18" s="2">
        <v>100.0</v>
      </c>
      <c r="J18" s="2">
        <v>34.0</v>
      </c>
    </row>
    <row r="19">
      <c r="B19" s="2" t="s">
        <v>61</v>
      </c>
      <c r="C19" s="2">
        <v>180.0</v>
      </c>
      <c r="D19" s="2">
        <f t="shared" si="2"/>
        <v>753.12</v>
      </c>
      <c r="E19" s="2">
        <v>46.0</v>
      </c>
      <c r="F19" s="2">
        <v>0.0</v>
      </c>
      <c r="G19" s="2">
        <v>0.0</v>
      </c>
      <c r="H19" s="2">
        <v>296.0</v>
      </c>
      <c r="I19" s="2">
        <v>0.0</v>
      </c>
      <c r="J19" s="2">
        <v>50.0</v>
      </c>
    </row>
    <row r="20">
      <c r="B20" s="2" t="s">
        <v>19</v>
      </c>
      <c r="C20" s="2">
        <v>157.0</v>
      </c>
      <c r="D20" s="2">
        <f t="shared" si="2"/>
        <v>656.888</v>
      </c>
      <c r="E20" s="2">
        <v>11.1</v>
      </c>
      <c r="F20" s="2">
        <f>C20*E20</f>
        <v>1742.7</v>
      </c>
      <c r="G20" s="2">
        <v>4.1</v>
      </c>
      <c r="H20" s="2">
        <v>47.0</v>
      </c>
      <c r="I20" s="2">
        <v>0.0</v>
      </c>
      <c r="J20" s="2">
        <v>30.0</v>
      </c>
    </row>
    <row r="21">
      <c r="B21" s="2" t="s">
        <v>62</v>
      </c>
      <c r="C21" s="2">
        <v>176.0</v>
      </c>
      <c r="D21" s="2">
        <f t="shared" si="2"/>
        <v>736.384</v>
      </c>
      <c r="E21" s="2">
        <v>14.6</v>
      </c>
      <c r="F21" s="2">
        <v>10.3</v>
      </c>
      <c r="G21" s="2">
        <v>5.1</v>
      </c>
      <c r="H21" s="2">
        <v>60.0</v>
      </c>
      <c r="I21" s="2">
        <v>0.0</v>
      </c>
      <c r="J21" s="2">
        <v>35.0</v>
      </c>
    </row>
    <row r="22">
      <c r="B22" s="2" t="s">
        <v>63</v>
      </c>
      <c r="C22" s="2">
        <v>80.0</v>
      </c>
      <c r="D22" s="2">
        <f t="shared" si="2"/>
        <v>334.72</v>
      </c>
      <c r="E22" s="2">
        <v>21.0</v>
      </c>
      <c r="F22" s="2">
        <v>0.0</v>
      </c>
      <c r="G22" s="2">
        <v>0.0</v>
      </c>
      <c r="H22" s="2">
        <v>380.0</v>
      </c>
      <c r="I22" s="2">
        <v>16.0</v>
      </c>
      <c r="J22" s="2">
        <v>22.0</v>
      </c>
    </row>
    <row r="23">
      <c r="B23" s="2" t="s">
        <v>15</v>
      </c>
      <c r="C23" s="2">
        <v>80.0</v>
      </c>
      <c r="D23" s="2">
        <f t="shared" si="2"/>
        <v>334.72</v>
      </c>
      <c r="E23" s="2">
        <v>21.0</v>
      </c>
      <c r="F23" s="2">
        <v>0.0</v>
      </c>
      <c r="G23" s="2">
        <v>0.0</v>
      </c>
      <c r="H23" s="2">
        <v>380.0</v>
      </c>
      <c r="I23" s="2">
        <v>16.0</v>
      </c>
      <c r="J23" s="2">
        <v>22.0</v>
      </c>
    </row>
    <row r="24">
      <c r="B24" s="2" t="s">
        <v>64</v>
      </c>
      <c r="C24" s="2">
        <v>117.0</v>
      </c>
      <c r="D24" s="30">
        <f t="shared" si="2"/>
        <v>489.528</v>
      </c>
      <c r="E24" s="2">
        <v>29.8</v>
      </c>
      <c r="F24" s="2">
        <v>0.0</v>
      </c>
      <c r="G24" s="2">
        <v>0.0</v>
      </c>
      <c r="H24" s="2">
        <v>36.0</v>
      </c>
      <c r="I24" s="2">
        <v>0.0</v>
      </c>
      <c r="J24" s="2">
        <v>45.0</v>
      </c>
    </row>
    <row r="25">
      <c r="B25" s="2" t="s">
        <v>65</v>
      </c>
      <c r="C25" s="2"/>
      <c r="D25" s="2">
        <v>1056.0</v>
      </c>
      <c r="E25" s="2">
        <v>40.7</v>
      </c>
      <c r="F25" s="2">
        <v>7.2</v>
      </c>
      <c r="G25" s="2">
        <v>4.7</v>
      </c>
      <c r="H25" s="2">
        <v>226.0</v>
      </c>
      <c r="I25" s="2">
        <v>0.0</v>
      </c>
      <c r="J25" s="2">
        <v>64.0</v>
      </c>
    </row>
    <row r="26">
      <c r="B26" s="2" t="s">
        <v>66</v>
      </c>
      <c r="C26" s="2">
        <v>6.0</v>
      </c>
      <c r="D26" s="2">
        <f t="shared" ref="D26:D27" si="4">C26*4.184</f>
        <v>25.104</v>
      </c>
      <c r="E26" s="2"/>
      <c r="F26" s="2"/>
      <c r="G26" s="2"/>
      <c r="H26" s="2">
        <v>430.0</v>
      </c>
      <c r="I26" s="2"/>
      <c r="J26" s="2"/>
    </row>
    <row r="27">
      <c r="B27" s="2" t="s">
        <v>67</v>
      </c>
      <c r="C27" s="2">
        <v>0.0</v>
      </c>
      <c r="D27" s="2">
        <f t="shared" si="4"/>
        <v>0</v>
      </c>
      <c r="E27" s="2"/>
      <c r="F27" s="2"/>
      <c r="G27" s="2"/>
      <c r="H27" s="2">
        <v>250.0</v>
      </c>
      <c r="I27" s="2"/>
      <c r="J27" s="2"/>
    </row>
    <row r="28">
      <c r="B28" s="2" t="s">
        <v>68</v>
      </c>
      <c r="C28" s="2">
        <v>614.0</v>
      </c>
      <c r="D28" s="2"/>
      <c r="E28" s="2">
        <v>79.4</v>
      </c>
      <c r="F28" s="2">
        <v>18.2</v>
      </c>
      <c r="G28" s="2">
        <v>29.48</v>
      </c>
      <c r="H28" s="2">
        <v>2026.0</v>
      </c>
      <c r="I28" s="2"/>
      <c r="J28" s="2">
        <f>20+42+20+76</f>
        <v>158</v>
      </c>
    </row>
    <row r="29">
      <c r="B29" s="31" t="s">
        <v>69</v>
      </c>
      <c r="C29" s="32">
        <v>225.0</v>
      </c>
      <c r="D29" s="32">
        <v>943.0</v>
      </c>
      <c r="E29" s="32">
        <v>40.11</v>
      </c>
      <c r="F29" s="32">
        <v>3.47</v>
      </c>
      <c r="G29" s="32">
        <v>7.49</v>
      </c>
      <c r="H29" s="32">
        <v>467.0</v>
      </c>
      <c r="I29" s="31">
        <v>0.0</v>
      </c>
      <c r="J29" s="33"/>
    </row>
    <row r="30">
      <c r="B30" s="34" t="s">
        <v>70</v>
      </c>
      <c r="C30" s="33">
        <v>494.0</v>
      </c>
      <c r="D30" s="33">
        <v>2070.0</v>
      </c>
      <c r="E30" s="33">
        <v>61.8</v>
      </c>
      <c r="F30" s="33">
        <v>23.1</v>
      </c>
      <c r="G30" s="33">
        <v>7.9</v>
      </c>
      <c r="H30" s="33">
        <v>625.0</v>
      </c>
      <c r="I30" s="34"/>
      <c r="J30" s="33">
        <v>100.0</v>
      </c>
    </row>
    <row r="31">
      <c r="C31" s="2"/>
      <c r="D31" s="2"/>
      <c r="E31" s="2"/>
      <c r="F31" s="2"/>
      <c r="G31" s="2"/>
      <c r="H31" s="2"/>
      <c r="I31" s="2"/>
      <c r="J31" s="2"/>
    </row>
    <row r="32">
      <c r="B32" s="35" t="s">
        <v>23</v>
      </c>
      <c r="C32" s="36"/>
      <c r="D32" s="36"/>
      <c r="E32" s="36"/>
      <c r="F32" s="36"/>
      <c r="G32" s="36"/>
      <c r="H32" s="36"/>
      <c r="I32" s="36"/>
      <c r="J32" s="36"/>
    </row>
  </sheetData>
  <drawing r:id="rId1"/>
</worksheet>
</file>